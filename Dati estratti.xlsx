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225188\Downloads\Sistema idrico\"/>
    </mc:Choice>
  </mc:AlternateContent>
  <xr:revisionPtr revIDLastSave="0" documentId="13_ncr:1_{2D920B54-4692-4411-ADFE-55472E6D2754}" xr6:coauthVersionLast="47" xr6:coauthVersionMax="47" xr10:uidLastSave="{00000000-0000-0000-0000-000000000000}"/>
  <bookViews>
    <workbookView xWindow="28680" yWindow="-120" windowWidth="29040" windowHeight="15720" xr2:uid="{A2F0BCA2-5B82-436D-93BA-054D62075096}"/>
  </bookViews>
  <sheets>
    <sheet name="Volumi invasi 23-26" sheetId="1" r:id="rId1"/>
    <sheet name="% annua di riempi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AZ11" i="1"/>
  <c r="BA11" i="1"/>
  <c r="BB11" i="1"/>
  <c r="BC11" i="1"/>
  <c r="BD11" i="1"/>
  <c r="I4" i="2"/>
  <c r="I5" i="2"/>
  <c r="I6" i="2"/>
  <c r="I7" i="2"/>
  <c r="I8" i="2"/>
  <c r="I9" i="2"/>
  <c r="I10" i="2"/>
  <c r="G5" i="2"/>
  <c r="G6" i="2"/>
  <c r="G7" i="2"/>
  <c r="G8" i="2"/>
  <c r="G9" i="2"/>
  <c r="F5" i="2"/>
  <c r="F6" i="2"/>
  <c r="F7" i="2"/>
  <c r="F8" i="2"/>
  <c r="F9" i="2"/>
  <c r="F4" i="2"/>
  <c r="E5" i="2"/>
  <c r="E6" i="2"/>
  <c r="E7" i="2"/>
  <c r="E8" i="2"/>
  <c r="E9" i="2"/>
  <c r="E4" i="2"/>
  <c r="D5" i="2"/>
  <c r="H5" i="2" s="1"/>
  <c r="D6" i="2"/>
  <c r="D7" i="2"/>
  <c r="D8" i="2"/>
  <c r="D9" i="2"/>
  <c r="D4" i="2"/>
  <c r="C8" i="2"/>
  <c r="C7" i="2"/>
  <c r="C6" i="2"/>
  <c r="C5" i="2"/>
  <c r="C4" i="2"/>
  <c r="C9" i="2"/>
  <c r="B10" i="2"/>
  <c r="C11" i="1"/>
  <c r="D11" i="1"/>
  <c r="E11" i="1"/>
  <c r="F11" i="1"/>
  <c r="G11" i="1"/>
  <c r="H11" i="1"/>
  <c r="I11" i="1"/>
  <c r="J11" i="1"/>
  <c r="K11" i="1"/>
  <c r="L11" i="1"/>
  <c r="M11" i="1"/>
  <c r="N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O11" i="1"/>
  <c r="B11" i="1"/>
  <c r="D10" i="2" l="1"/>
  <c r="H6" i="2"/>
  <c r="F10" i="2"/>
  <c r="H7" i="2"/>
  <c r="E10" i="2"/>
  <c r="H9" i="2"/>
  <c r="H8" i="2"/>
  <c r="H4" i="2"/>
  <c r="G10" i="2"/>
  <c r="C10" i="2"/>
  <c r="H10" i="2" l="1"/>
</calcChain>
</file>

<file path=xl/sharedStrings.xml><?xml version="1.0" encoding="utf-8"?>
<sst xmlns="http://schemas.openxmlformats.org/spreadsheetml/2006/main" count="88" uniqueCount="31">
  <si>
    <t>GARCIA</t>
  </si>
  <si>
    <t>PIANA DEGLI ALBANESI</t>
  </si>
  <si>
    <t>POMA</t>
  </si>
  <si>
    <t>PRIZZI</t>
  </si>
  <si>
    <t>ROSAMARINA</t>
  </si>
  <si>
    <t>SCANZANO</t>
  </si>
  <si>
    <t>PROSPETTO VOLUMI INVASATI NELLE DIGHE DELLA SICILIA - CITTA' DI PALERMO</t>
  </si>
  <si>
    <t>DIGA</t>
  </si>
  <si>
    <t>VOLUME (m³)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</si>
  <si>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</si>
  <si>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</si>
  <si>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</si>
  <si>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</si>
  <si>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</si>
  <si>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</si>
  <si>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</si>
  <si>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</si>
  <si>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</si>
  <si>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</si>
  <si>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</si>
  <si>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</si>
  <si>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Capacità invaso (m³)
2026</t>
  </si>
  <si>
    <t>Totale</t>
  </si>
  <si>
    <t>media
2022-2025</t>
  </si>
  <si>
    <r>
      <t xml:space="preserve">% media annua di riempimento per ogni diga
</t>
    </r>
    <r>
      <rPr>
        <b/>
        <i/>
        <sz val="11"/>
        <color theme="1"/>
        <rFont val="Aptos Narrow"/>
        <family val="2"/>
        <scheme val="minor"/>
      </rPr>
      <t>N.B. il 2026 è ancora in corso</t>
    </r>
  </si>
  <si>
    <t>2022</t>
  </si>
  <si>
    <t>2023</t>
  </si>
  <si>
    <t>2024</t>
  </si>
  <si>
    <t>2025</t>
  </si>
  <si>
    <t>2026</t>
  </si>
  <si>
    <r>
      <t xml:space="preserve">Frequenza sotto-soglia
</t>
    </r>
    <r>
      <rPr>
        <sz val="8"/>
        <rFont val="Aptos Narrow"/>
        <family val="2"/>
        <scheme val="minor"/>
      </rPr>
      <t>in mesi, fino al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</si>
</sst>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9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10" xfId="0" applyNumberFormat="1" applyBorder="1" applyAlignment="1">
      <alignment vertical="center"/>
    </xf>
    <xf numFmtId="2" fontId="4" fillId="0" borderId="0" xfId="0" applyNumberFormat="1" applyFont="1" applyAlignment="1">
      <alignment horizontal="center" vertical="center"/>
    </xf>
    <xf numFmtId="9" fontId="0" fillId="0" borderId="0" xfId="1" applyNumberFormat="1" applyFont="1" applyAlignment="1">
      <alignment vertical="center"/>
    </xf>
    <xf numFmtId="2" fontId="0" fillId="0" borderId="8" xfId="0" applyNumberFormat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10" fontId="0" fillId="0" borderId="0" xfId="1" applyNumberFormat="1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e" xfId="0" builtinId="0"/>
    <cellStyle name="Percentuale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370F3-2D06-4EE8-B1F9-1F70E72A9A69}" name="Tabella1" displayName="Tabella1" ref="C3:I10" totalsRowShown="0" headerRowDxfId="10">
  <autoFilter ref="C3:I10" xr:uid="{5A7370F3-2D06-4EE8-B1F9-1F70E72A9A69}"/>
  <tableColumns count="7">
    <tableColumn id="1" xr3:uid="{8E3E3313-6CFE-472D-BD03-E2F75B9CEE4D}" name="2022" dataDxfId="9" dataCellStyle="Percentuale"/>
    <tableColumn id="2" xr3:uid="{1302779F-51F9-4A8A-87CF-39E1A611E7A7}" name="2023" dataDxfId="8" dataCellStyle="Percentuale"/>
    <tableColumn id="3" xr3:uid="{0B027CE0-86AE-4E2D-A39C-5A8A9B1002E2}" name="2024" dataDxfId="7" dataCellStyle="Percentuale"/>
    <tableColumn id="4" xr3:uid="{48AC5DE2-9289-4D1B-9DFC-6D2082BE22D0}" name="2025" dataDxfId="6" dataCellStyle="Percentuale"/>
    <tableColumn id="5" xr3:uid="{ACAEE382-1207-42B6-A908-D59AE1951AC7}" name="2026" dataDxfId="5" dataCellStyle="Percentuale"/>
    <tableColumn id="6" xr3:uid="{9FCCE13B-01B1-4C36-8A0C-FC1D36041CCA}" name="media_x000a_2022-2025" dataDxfId="4">
      <calculatedColumnFormula>AVERAGE(C4:F4)</calculatedColumnFormula>
    </tableColumn>
    <tableColumn id="7" xr3:uid="{386F48A9-2C3F-4F62-AE1A-7F7ED8D06E4D}" name="Frequenza sotto-soglia_x000a_in mesi, fino al 2025" dataDxfId="3">
      <calculatedColumnFormula>COUNTIF('Volumi invasi 23-26'!C5:AX5, "&lt;" &amp; ('Volumi invasi 23-26'!B5*0.4))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415C-4855-4058-9FF0-A6194F174DB6}">
  <dimension ref="A1:BJ12"/>
  <sheetViews>
    <sheetView tabSelected="1" zoomScale="115" zoomScaleNormal="115" workbookViewId="0">
      <pane xSplit="1" topLeftCell="W1" activePane="topRight" state="frozen"/>
      <selection pane="topRight" activeCell="AX11" sqref="AX11"/>
    </sheetView>
  </sheetViews>
  <sheetFormatPr defaultRowHeight="15" x14ac:dyDescent="0.25"/>
  <cols>
    <col min="1" max="1" width="20.85546875" style="2" customWidth="1"/>
    <col min="2" max="2" width="11.140625" style="2" customWidth="1"/>
    <col min="3" max="16" width="7.28515625" style="2" bestFit="1" customWidth="1"/>
    <col min="17" max="17" width="7.7109375" style="2" bestFit="1" customWidth="1"/>
    <col min="18" max="18" width="7.28515625" style="2" bestFit="1" customWidth="1"/>
    <col min="19" max="21" width="7.7109375" style="2" bestFit="1" customWidth="1"/>
    <col min="22" max="22" width="7.28515625" style="2" bestFit="1" customWidth="1"/>
    <col min="23" max="23" width="7.7109375" style="2" bestFit="1" customWidth="1"/>
    <col min="24" max="25" width="7.28515625" style="2" bestFit="1" customWidth="1"/>
    <col min="26" max="26" width="7.7109375" style="2" bestFit="1" customWidth="1"/>
    <col min="27" max="27" width="7.42578125" style="2" bestFit="1" customWidth="1"/>
    <col min="28" max="29" width="6.85546875" style="2" bestFit="1" customWidth="1"/>
    <col min="30" max="31" width="7.7109375" style="2" bestFit="1" customWidth="1"/>
    <col min="32" max="37" width="6.85546875" style="2" bestFit="1" customWidth="1"/>
    <col min="38" max="38" width="6.42578125" style="2" bestFit="1" customWidth="1"/>
    <col min="39" max="39" width="7.42578125" style="2" bestFit="1" customWidth="1"/>
    <col min="40" max="48" width="6.85546875" style="2" bestFit="1" customWidth="1"/>
    <col min="49" max="49" width="6.42578125" style="2" bestFit="1" customWidth="1"/>
    <col min="50" max="50" width="6.85546875" style="2" bestFit="1" customWidth="1"/>
    <col min="51" max="51" width="7.42578125" style="2" bestFit="1" customWidth="1"/>
    <col min="52" max="52" width="6.140625" style="2" bestFit="1" customWidth="1"/>
    <col min="53" max="56" width="7.28515625" style="2" bestFit="1" customWidth="1"/>
    <col min="57" max="60" width="3.42578125" style="2" bestFit="1" customWidth="1"/>
    <col min="61" max="62" width="3" style="2" bestFit="1" customWidth="1"/>
    <col min="63" max="16384" width="9.140625" style="2"/>
  </cols>
  <sheetData>
    <row r="1" spans="1:62" x14ac:dyDescent="0.25">
      <c r="A1" s="28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ht="39" customHeight="1" thickBot="1" x14ac:dyDescent="0.3">
      <c r="A2" s="30" t="s">
        <v>7</v>
      </c>
      <c r="B2" s="27" t="s">
        <v>21</v>
      </c>
      <c r="C2" s="29" t="s">
        <v>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62" ht="15" customHeight="1" x14ac:dyDescent="0.25">
      <c r="A3" s="30"/>
      <c r="B3" s="27"/>
      <c r="C3" s="24">
        <v>2022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4">
        <v>2023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  <c r="AA3" s="24">
        <v>2024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6"/>
      <c r="AM3" s="24">
        <v>2025</v>
      </c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6"/>
      <c r="AY3" s="24">
        <v>2026</v>
      </c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2" ht="15" customHeight="1" x14ac:dyDescent="0.25">
      <c r="A4" s="30"/>
      <c r="B4" s="27"/>
      <c r="C4" s="5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6" t="s">
        <v>20</v>
      </c>
      <c r="O4" s="5" t="s">
        <v>9</v>
      </c>
      <c r="P4" s="4" t="s">
        <v>10</v>
      </c>
      <c r="Q4" s="4" t="s">
        <v>11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16</v>
      </c>
      <c r="W4" s="4" t="s">
        <v>17</v>
      </c>
      <c r="X4" s="4" t="s">
        <v>18</v>
      </c>
      <c r="Y4" s="4" t="s">
        <v>19</v>
      </c>
      <c r="Z4" s="6" t="s">
        <v>20</v>
      </c>
      <c r="AA4" s="5" t="s">
        <v>9</v>
      </c>
      <c r="AB4" s="4" t="s">
        <v>10</v>
      </c>
      <c r="AC4" s="4" t="s">
        <v>11</v>
      </c>
      <c r="AD4" s="4" t="s">
        <v>12</v>
      </c>
      <c r="AE4" s="4" t="s">
        <v>13</v>
      </c>
      <c r="AF4" s="4" t="s">
        <v>14</v>
      </c>
      <c r="AG4" s="4" t="s">
        <v>15</v>
      </c>
      <c r="AH4" s="4" t="s">
        <v>16</v>
      </c>
      <c r="AI4" s="4" t="s">
        <v>17</v>
      </c>
      <c r="AJ4" s="4" t="s">
        <v>18</v>
      </c>
      <c r="AK4" s="4" t="s">
        <v>19</v>
      </c>
      <c r="AL4" s="6" t="s">
        <v>20</v>
      </c>
      <c r="AM4" s="5" t="s">
        <v>9</v>
      </c>
      <c r="AN4" s="4" t="s">
        <v>10</v>
      </c>
      <c r="AO4" s="4" t="s">
        <v>11</v>
      </c>
      <c r="AP4" s="4" t="s">
        <v>12</v>
      </c>
      <c r="AQ4" s="4" t="s">
        <v>13</v>
      </c>
      <c r="AR4" s="4" t="s">
        <v>14</v>
      </c>
      <c r="AS4" s="4" t="s">
        <v>15</v>
      </c>
      <c r="AT4" s="4" t="s">
        <v>16</v>
      </c>
      <c r="AU4" s="4" t="s">
        <v>17</v>
      </c>
      <c r="AV4" s="4" t="s">
        <v>18</v>
      </c>
      <c r="AW4" s="4" t="s">
        <v>19</v>
      </c>
      <c r="AX4" s="6" t="s">
        <v>20</v>
      </c>
      <c r="AY4" s="5" t="s">
        <v>9</v>
      </c>
      <c r="AZ4" s="4" t="s">
        <v>10</v>
      </c>
      <c r="BA4" s="4" t="s">
        <v>11</v>
      </c>
      <c r="BB4" s="4" t="s">
        <v>12</v>
      </c>
      <c r="BC4" s="4" t="s">
        <v>13</v>
      </c>
      <c r="BD4" s="4" t="s">
        <v>14</v>
      </c>
      <c r="BE4" s="4" t="s">
        <v>15</v>
      </c>
      <c r="BF4" s="4" t="s">
        <v>16</v>
      </c>
      <c r="BG4" s="4" t="s">
        <v>17</v>
      </c>
      <c r="BH4" s="4" t="s">
        <v>18</v>
      </c>
      <c r="BI4" s="4" t="s">
        <v>19</v>
      </c>
      <c r="BJ4" s="6" t="s">
        <v>20</v>
      </c>
    </row>
    <row r="5" spans="1:62" x14ac:dyDescent="0.25">
      <c r="A5" s="2" t="s">
        <v>0</v>
      </c>
      <c r="B5" s="3">
        <v>80</v>
      </c>
      <c r="C5" s="11">
        <v>55.3</v>
      </c>
      <c r="D5" s="9">
        <v>49.64</v>
      </c>
      <c r="E5" s="9">
        <v>52.66</v>
      </c>
      <c r="F5" s="9">
        <v>54.34</v>
      </c>
      <c r="G5" s="9">
        <v>55.62</v>
      </c>
      <c r="H5" s="9">
        <v>55.82</v>
      </c>
      <c r="I5" s="9">
        <v>51.76</v>
      </c>
      <c r="J5" s="9">
        <v>41.67</v>
      </c>
      <c r="K5" s="9">
        <v>35.200000000000003</v>
      </c>
      <c r="L5" s="9">
        <v>33.799999999999997</v>
      </c>
      <c r="M5" s="9">
        <v>34.25</v>
      </c>
      <c r="N5" s="12">
        <v>37.94</v>
      </c>
      <c r="O5" s="11">
        <v>39.11</v>
      </c>
      <c r="P5" s="9">
        <v>43.93</v>
      </c>
      <c r="Q5" s="9">
        <v>49.53</v>
      </c>
      <c r="R5" s="9">
        <v>62.75</v>
      </c>
      <c r="S5" s="9">
        <v>59.32</v>
      </c>
      <c r="T5" s="9">
        <v>59.58</v>
      </c>
      <c r="U5" s="9">
        <v>57.56</v>
      </c>
      <c r="V5" s="9">
        <v>49.89</v>
      </c>
      <c r="W5" s="9">
        <v>41.95</v>
      </c>
      <c r="X5" s="9">
        <v>33.97</v>
      </c>
      <c r="Y5" s="9">
        <v>25.7</v>
      </c>
      <c r="Z5" s="12">
        <v>24.28</v>
      </c>
      <c r="AA5" s="11">
        <v>23.08</v>
      </c>
      <c r="AB5" s="9">
        <v>22.6</v>
      </c>
      <c r="AC5" s="9">
        <v>23.14</v>
      </c>
      <c r="AD5" s="9">
        <v>26.72</v>
      </c>
      <c r="AE5" s="9">
        <v>25.6</v>
      </c>
      <c r="AF5" s="9">
        <v>24.25</v>
      </c>
      <c r="AG5" s="9">
        <v>21.69</v>
      </c>
      <c r="AH5" s="9">
        <v>16.82</v>
      </c>
      <c r="AI5" s="9">
        <v>14.77</v>
      </c>
      <c r="AJ5" s="9">
        <v>13</v>
      </c>
      <c r="AK5" s="9">
        <v>11.69</v>
      </c>
      <c r="AL5" s="12">
        <v>10.68</v>
      </c>
      <c r="AM5" s="11">
        <v>10.38</v>
      </c>
      <c r="AN5" s="9">
        <v>12.71</v>
      </c>
      <c r="AO5" s="9">
        <v>18.010000000000002</v>
      </c>
      <c r="AP5" s="9">
        <v>19.02</v>
      </c>
      <c r="AQ5" s="9">
        <v>19.59</v>
      </c>
      <c r="AR5" s="9">
        <v>20.100000000000001</v>
      </c>
      <c r="AS5" s="9">
        <v>18.68</v>
      </c>
      <c r="AT5" s="9">
        <v>15.67</v>
      </c>
      <c r="AU5" s="9">
        <v>14.77</v>
      </c>
      <c r="AV5" s="9">
        <v>8.33</v>
      </c>
      <c r="AW5" s="9">
        <v>6.84</v>
      </c>
      <c r="AX5" s="12">
        <v>6.08</v>
      </c>
      <c r="AY5" s="11">
        <v>6</v>
      </c>
      <c r="AZ5" s="9">
        <v>13.69</v>
      </c>
      <c r="BA5" s="9">
        <v>30.18</v>
      </c>
      <c r="BB5" s="9">
        <v>37.64</v>
      </c>
      <c r="BC5" s="9">
        <v>48.06</v>
      </c>
      <c r="BD5" s="9">
        <v>48.53</v>
      </c>
      <c r="BE5" s="9"/>
      <c r="BF5" s="9"/>
      <c r="BG5" s="9"/>
      <c r="BH5" s="9"/>
      <c r="BI5" s="9"/>
      <c r="BJ5" s="12"/>
    </row>
    <row r="6" spans="1:62" x14ac:dyDescent="0.25">
      <c r="A6" s="2" t="s">
        <v>1</v>
      </c>
      <c r="B6" s="3">
        <v>32.799999999999997</v>
      </c>
      <c r="C6" s="11">
        <v>23.74</v>
      </c>
      <c r="D6" s="9">
        <v>23.49</v>
      </c>
      <c r="E6" s="9">
        <v>21.94</v>
      </c>
      <c r="F6" s="9">
        <v>21.81</v>
      </c>
      <c r="G6" s="9">
        <v>21.62</v>
      </c>
      <c r="H6" s="9">
        <v>21.76</v>
      </c>
      <c r="I6" s="9">
        <v>20.23</v>
      </c>
      <c r="J6" s="9">
        <v>18.36</v>
      </c>
      <c r="K6" s="9">
        <v>16.510000000000002</v>
      </c>
      <c r="L6" s="9">
        <v>15.45</v>
      </c>
      <c r="M6" s="9">
        <v>14.23</v>
      </c>
      <c r="N6" s="12">
        <v>14.78</v>
      </c>
      <c r="O6" s="11">
        <v>15.05</v>
      </c>
      <c r="P6" s="9">
        <v>15.88</v>
      </c>
      <c r="Q6" s="9">
        <v>16.75</v>
      </c>
      <c r="R6" s="9">
        <v>17.96</v>
      </c>
      <c r="S6" s="9">
        <v>17.16</v>
      </c>
      <c r="T6" s="9">
        <v>17.59</v>
      </c>
      <c r="U6" s="9">
        <v>17.72</v>
      </c>
      <c r="V6" s="9">
        <v>16.02</v>
      </c>
      <c r="W6" s="9">
        <v>14.32</v>
      </c>
      <c r="X6" s="9">
        <v>13.24</v>
      </c>
      <c r="Y6" s="9">
        <v>11.63</v>
      </c>
      <c r="Z6" s="12">
        <v>10.48</v>
      </c>
      <c r="AA6" s="7">
        <v>9.6199999999999992</v>
      </c>
      <c r="AB6" s="9">
        <v>11.54</v>
      </c>
      <c r="AC6" s="9">
        <v>11.65</v>
      </c>
      <c r="AD6" s="9">
        <v>12.33</v>
      </c>
      <c r="AE6" s="9">
        <v>11.42</v>
      </c>
      <c r="AF6" s="9">
        <v>10.46</v>
      </c>
      <c r="AG6" s="9">
        <v>9.7100000000000009</v>
      </c>
      <c r="AH6" s="9">
        <v>8.41</v>
      </c>
      <c r="AI6" s="9">
        <v>7.43</v>
      </c>
      <c r="AJ6" s="9">
        <v>6.61</v>
      </c>
      <c r="AK6" s="9">
        <v>5.89</v>
      </c>
      <c r="AL6" s="12">
        <v>5.18</v>
      </c>
      <c r="AM6" s="7">
        <v>5.51</v>
      </c>
      <c r="AN6" s="9">
        <v>7.31</v>
      </c>
      <c r="AO6" s="9">
        <v>8.8000000000000007</v>
      </c>
      <c r="AP6" s="9">
        <v>10.77</v>
      </c>
      <c r="AQ6" s="9">
        <v>11.29</v>
      </c>
      <c r="AR6" s="9">
        <v>10.79</v>
      </c>
      <c r="AS6" s="9">
        <v>10.01</v>
      </c>
      <c r="AT6" s="9">
        <v>9.16</v>
      </c>
      <c r="AU6" s="9">
        <v>7.43</v>
      </c>
      <c r="AV6" s="9">
        <v>7.02</v>
      </c>
      <c r="AW6" s="9">
        <v>6.2</v>
      </c>
      <c r="AX6" s="12">
        <v>5.68</v>
      </c>
      <c r="AY6" s="7">
        <v>5.18</v>
      </c>
      <c r="AZ6" s="9">
        <v>9.5399999999999991</v>
      </c>
      <c r="BA6" s="9">
        <v>16.13</v>
      </c>
      <c r="BB6" s="9">
        <v>18.37</v>
      </c>
      <c r="BC6" s="9">
        <v>20.82</v>
      </c>
      <c r="BD6" s="9">
        <v>19.8</v>
      </c>
      <c r="BE6" s="9"/>
      <c r="BF6" s="9"/>
      <c r="BG6" s="9"/>
      <c r="BH6" s="9"/>
      <c r="BI6" s="9"/>
      <c r="BJ6" s="12"/>
    </row>
    <row r="7" spans="1:62" x14ac:dyDescent="0.25">
      <c r="A7" s="2" t="s">
        <v>2</v>
      </c>
      <c r="B7" s="3">
        <v>72.5</v>
      </c>
      <c r="C7" s="11">
        <v>69.98</v>
      </c>
      <c r="D7" s="9">
        <v>72.31</v>
      </c>
      <c r="E7" s="9">
        <v>71.599999999999994</v>
      </c>
      <c r="F7" s="9">
        <v>70.41</v>
      </c>
      <c r="G7" s="9">
        <v>68.91</v>
      </c>
      <c r="H7" s="9">
        <v>66.86</v>
      </c>
      <c r="I7" s="9">
        <v>62.44</v>
      </c>
      <c r="J7" s="9">
        <v>57.28</v>
      </c>
      <c r="K7" s="9">
        <v>51.67</v>
      </c>
      <c r="L7" s="9">
        <v>47.53</v>
      </c>
      <c r="M7" s="9">
        <v>44.98</v>
      </c>
      <c r="N7" s="12">
        <v>45.7</v>
      </c>
      <c r="O7" s="11">
        <v>45.79</v>
      </c>
      <c r="P7" s="9">
        <v>47.34</v>
      </c>
      <c r="Q7" s="9">
        <v>49.14</v>
      </c>
      <c r="R7" s="9">
        <v>56.16</v>
      </c>
      <c r="S7" s="9">
        <v>55.4</v>
      </c>
      <c r="T7" s="9">
        <v>55.96</v>
      </c>
      <c r="U7" s="9">
        <v>55.12</v>
      </c>
      <c r="V7" s="9">
        <v>49.81</v>
      </c>
      <c r="W7" s="9">
        <v>44.8</v>
      </c>
      <c r="X7" s="9">
        <v>40.75</v>
      </c>
      <c r="Y7" s="9">
        <v>38.229999999999997</v>
      </c>
      <c r="Z7" s="12">
        <v>36.04</v>
      </c>
      <c r="AA7" s="7">
        <v>33.950000000000003</v>
      </c>
      <c r="AB7" s="9">
        <v>35.18</v>
      </c>
      <c r="AC7" s="9">
        <v>34.99</v>
      </c>
      <c r="AD7" s="9">
        <v>39.61</v>
      </c>
      <c r="AE7" s="9">
        <v>37.81</v>
      </c>
      <c r="AF7" s="9">
        <v>35.869999999999997</v>
      </c>
      <c r="AG7" s="9">
        <v>32.630000000000003</v>
      </c>
      <c r="AH7" s="9">
        <v>27.73</v>
      </c>
      <c r="AI7" s="9">
        <v>23.2</v>
      </c>
      <c r="AJ7" s="9">
        <v>20.53</v>
      </c>
      <c r="AK7" s="9">
        <v>18.36</v>
      </c>
      <c r="AL7" s="12">
        <v>16.52</v>
      </c>
      <c r="AM7" s="7">
        <v>17.2</v>
      </c>
      <c r="AN7" s="9">
        <v>20.21</v>
      </c>
      <c r="AO7" s="9">
        <v>26.3</v>
      </c>
      <c r="AP7" s="9">
        <v>28.39</v>
      </c>
      <c r="AQ7" s="9">
        <v>29.63</v>
      </c>
      <c r="AR7" s="9">
        <v>28.39</v>
      </c>
      <c r="AS7" s="9">
        <v>25.82</v>
      </c>
      <c r="AT7" s="9">
        <v>22.65</v>
      </c>
      <c r="AU7" s="9">
        <v>23.2</v>
      </c>
      <c r="AV7" s="9">
        <v>17.940000000000001</v>
      </c>
      <c r="AW7" s="9">
        <v>16.239999999999998</v>
      </c>
      <c r="AX7" s="12">
        <v>15.26</v>
      </c>
      <c r="AY7" s="7">
        <v>14.68</v>
      </c>
      <c r="AZ7" s="9">
        <v>26.03</v>
      </c>
      <c r="BA7" s="9">
        <v>44.92</v>
      </c>
      <c r="BB7" s="9">
        <v>48.73</v>
      </c>
      <c r="BC7" s="9">
        <v>61.84</v>
      </c>
      <c r="BD7" s="9">
        <v>60.52</v>
      </c>
      <c r="BE7" s="9"/>
      <c r="BF7" s="9"/>
      <c r="BG7" s="9"/>
      <c r="BH7" s="9"/>
      <c r="BI7" s="9"/>
      <c r="BJ7" s="12"/>
    </row>
    <row r="8" spans="1:62" x14ac:dyDescent="0.25">
      <c r="A8" s="2" t="s">
        <v>3</v>
      </c>
      <c r="B8" s="14">
        <v>9.25</v>
      </c>
      <c r="C8" s="11">
        <v>7.97</v>
      </c>
      <c r="D8" s="9">
        <v>7.97</v>
      </c>
      <c r="E8" s="9">
        <v>7.15</v>
      </c>
      <c r="F8" s="9">
        <v>7.13</v>
      </c>
      <c r="G8" s="9">
        <v>7.26</v>
      </c>
      <c r="H8" s="9">
        <v>6.99</v>
      </c>
      <c r="I8" s="9">
        <v>5.35</v>
      </c>
      <c r="J8" s="9">
        <v>4.21</v>
      </c>
      <c r="K8" s="9">
        <v>3.45</v>
      </c>
      <c r="L8" s="9">
        <v>2.7</v>
      </c>
      <c r="M8" s="9">
        <v>2.5299999999999998</v>
      </c>
      <c r="N8" s="12">
        <v>2.65</v>
      </c>
      <c r="O8" s="11">
        <v>2.96</v>
      </c>
      <c r="P8" s="9">
        <v>4.04</v>
      </c>
      <c r="Q8" s="9">
        <v>5</v>
      </c>
      <c r="R8" s="9">
        <v>6.89</v>
      </c>
      <c r="S8" s="9">
        <v>6.97</v>
      </c>
      <c r="T8" s="9">
        <v>7.13</v>
      </c>
      <c r="U8" s="9">
        <v>7.22</v>
      </c>
      <c r="V8" s="9">
        <v>6.24</v>
      </c>
      <c r="W8" s="9">
        <v>4.8</v>
      </c>
      <c r="X8" s="9">
        <v>3.62</v>
      </c>
      <c r="Y8" s="9">
        <v>2.54</v>
      </c>
      <c r="Z8" s="12">
        <v>1.81</v>
      </c>
      <c r="AA8" s="7">
        <v>1.76</v>
      </c>
      <c r="AB8" s="9">
        <v>1.93</v>
      </c>
      <c r="AC8" s="9">
        <v>2.21</v>
      </c>
      <c r="AD8" s="9">
        <v>3.05</v>
      </c>
      <c r="AE8" s="9">
        <v>3.06</v>
      </c>
      <c r="AF8" s="9">
        <v>2.98</v>
      </c>
      <c r="AG8" s="9">
        <v>2.74</v>
      </c>
      <c r="AH8" s="9">
        <v>2.11</v>
      </c>
      <c r="AI8" s="9">
        <v>1.94</v>
      </c>
      <c r="AJ8" s="9">
        <v>1.87</v>
      </c>
      <c r="AK8" s="9">
        <v>1.81</v>
      </c>
      <c r="AL8" s="12">
        <v>1.73</v>
      </c>
      <c r="AM8" s="7">
        <v>1.65</v>
      </c>
      <c r="AN8" s="9">
        <v>2.4500000000000002</v>
      </c>
      <c r="AO8" s="9">
        <v>3.44</v>
      </c>
      <c r="AP8" s="9">
        <v>4.07</v>
      </c>
      <c r="AQ8" s="9">
        <v>4.34</v>
      </c>
      <c r="AR8" s="9">
        <v>4.1900000000000004</v>
      </c>
      <c r="AS8" s="9">
        <v>3.91</v>
      </c>
      <c r="AT8" s="9">
        <v>3.43</v>
      </c>
      <c r="AU8" s="9">
        <v>1.94</v>
      </c>
      <c r="AV8" s="9">
        <v>1.37</v>
      </c>
      <c r="AW8" s="9">
        <v>1.32</v>
      </c>
      <c r="AX8" s="12">
        <v>1.31</v>
      </c>
      <c r="AY8" s="7">
        <v>1.45</v>
      </c>
      <c r="AZ8" s="9">
        <v>4.1399999999999997</v>
      </c>
      <c r="BA8" s="9">
        <v>7.73</v>
      </c>
      <c r="BB8" s="9">
        <v>7.73</v>
      </c>
      <c r="BC8" s="9">
        <v>7.73</v>
      </c>
      <c r="BD8" s="9">
        <v>7.69</v>
      </c>
      <c r="BE8" s="9"/>
      <c r="BF8" s="9"/>
      <c r="BG8" s="9"/>
      <c r="BH8" s="9"/>
      <c r="BI8" s="9"/>
      <c r="BJ8" s="12"/>
    </row>
    <row r="9" spans="1:62" x14ac:dyDescent="0.25">
      <c r="A9" s="2" t="s">
        <v>4</v>
      </c>
      <c r="B9" s="3">
        <v>100</v>
      </c>
      <c r="C9" s="11">
        <v>71.33</v>
      </c>
      <c r="D9" s="9">
        <v>62.31</v>
      </c>
      <c r="E9" s="9">
        <v>64.77</v>
      </c>
      <c r="F9" s="9">
        <v>63.69</v>
      </c>
      <c r="G9" s="9">
        <v>67.77</v>
      </c>
      <c r="H9" s="9">
        <v>62.21</v>
      </c>
      <c r="I9" s="9">
        <v>58.55</v>
      </c>
      <c r="J9" s="9">
        <v>53.15</v>
      </c>
      <c r="K9" s="9">
        <v>47.85</v>
      </c>
      <c r="L9" s="9">
        <v>43.65</v>
      </c>
      <c r="M9" s="9">
        <v>41.11</v>
      </c>
      <c r="N9" s="12">
        <v>40.26</v>
      </c>
      <c r="O9" s="11">
        <v>39.01</v>
      </c>
      <c r="P9" s="9">
        <v>40.549999999999997</v>
      </c>
      <c r="Q9" s="9">
        <v>43.12</v>
      </c>
      <c r="R9" s="9">
        <v>49.36</v>
      </c>
      <c r="S9" s="9">
        <v>48.38</v>
      </c>
      <c r="T9" s="9">
        <v>48.49</v>
      </c>
      <c r="U9" s="9">
        <v>48.85</v>
      </c>
      <c r="V9" s="9">
        <v>42.51</v>
      </c>
      <c r="W9" s="9">
        <v>37.159999999999997</v>
      </c>
      <c r="X9" s="9">
        <v>32.200000000000003</v>
      </c>
      <c r="Y9" s="9">
        <v>28.02</v>
      </c>
      <c r="Z9" s="12">
        <v>25.38</v>
      </c>
      <c r="AA9" s="7">
        <v>23.49</v>
      </c>
      <c r="AB9" s="9">
        <v>21.9</v>
      </c>
      <c r="AC9" s="9">
        <v>20.98</v>
      </c>
      <c r="AD9" s="9">
        <v>21.03</v>
      </c>
      <c r="AE9" s="9">
        <v>19.79</v>
      </c>
      <c r="AF9" s="9">
        <v>18.86</v>
      </c>
      <c r="AG9" s="9">
        <v>17.510000000000002</v>
      </c>
      <c r="AH9" s="9">
        <v>16.02</v>
      </c>
      <c r="AI9" s="9">
        <v>14.78</v>
      </c>
      <c r="AJ9" s="9">
        <v>13.5</v>
      </c>
      <c r="AK9" s="9">
        <v>12.37</v>
      </c>
      <c r="AL9" s="12">
        <v>11.18</v>
      </c>
      <c r="AM9" s="7">
        <v>10.42</v>
      </c>
      <c r="AN9" s="9">
        <v>14.42</v>
      </c>
      <c r="AO9" s="9">
        <v>18.57</v>
      </c>
      <c r="AP9" s="9">
        <v>20.56</v>
      </c>
      <c r="AQ9" s="9">
        <v>22.89</v>
      </c>
      <c r="AR9" s="9">
        <v>26.64</v>
      </c>
      <c r="AS9" s="9">
        <v>22.53</v>
      </c>
      <c r="AT9" s="9">
        <v>21.03</v>
      </c>
      <c r="AU9" s="9">
        <v>14.78</v>
      </c>
      <c r="AV9" s="9">
        <v>18.02</v>
      </c>
      <c r="AW9" s="9">
        <v>16.82</v>
      </c>
      <c r="AX9" s="12">
        <v>15.62</v>
      </c>
      <c r="AY9" s="7">
        <v>14.56</v>
      </c>
      <c r="AZ9" s="9">
        <v>24.59</v>
      </c>
      <c r="BA9" s="9">
        <v>49.15</v>
      </c>
      <c r="BB9" s="9">
        <v>56.51</v>
      </c>
      <c r="BC9" s="9">
        <v>66.709999999999994</v>
      </c>
      <c r="BD9" s="9">
        <v>65.569999999999993</v>
      </c>
      <c r="BE9" s="9"/>
      <c r="BF9" s="9"/>
      <c r="BG9" s="9"/>
      <c r="BH9" s="9"/>
      <c r="BI9" s="9"/>
      <c r="BJ9" s="12"/>
    </row>
    <row r="10" spans="1:62" ht="15.75" thickBot="1" x14ac:dyDescent="0.3">
      <c r="A10" s="2" t="s">
        <v>5</v>
      </c>
      <c r="B10" s="3">
        <v>18</v>
      </c>
      <c r="C10" s="16">
        <v>8.09</v>
      </c>
      <c r="D10" s="10">
        <v>8.81</v>
      </c>
      <c r="E10" s="10">
        <v>8.49</v>
      </c>
      <c r="F10" s="10">
        <v>7.92</v>
      </c>
      <c r="G10" s="10">
        <v>7.44</v>
      </c>
      <c r="H10" s="10">
        <v>6.79</v>
      </c>
      <c r="I10" s="10">
        <v>5.73</v>
      </c>
      <c r="J10" s="10">
        <v>5.07</v>
      </c>
      <c r="K10" s="10">
        <v>4.32</v>
      </c>
      <c r="L10" s="10">
        <v>4.12</v>
      </c>
      <c r="M10" s="10">
        <v>3.87</v>
      </c>
      <c r="N10" s="13">
        <v>4.28</v>
      </c>
      <c r="O10" s="16">
        <v>4.49</v>
      </c>
      <c r="P10" s="10">
        <v>5.38</v>
      </c>
      <c r="Q10" s="10">
        <v>6.52</v>
      </c>
      <c r="R10" s="10">
        <v>8.0299999999999994</v>
      </c>
      <c r="S10" s="10">
        <v>7.81</v>
      </c>
      <c r="T10" s="10">
        <v>7.97</v>
      </c>
      <c r="U10" s="10">
        <v>7.86</v>
      </c>
      <c r="V10" s="10">
        <v>7.08</v>
      </c>
      <c r="W10" s="10">
        <v>6.71</v>
      </c>
      <c r="X10" s="10">
        <v>5.53</v>
      </c>
      <c r="Y10" s="10">
        <v>4.49</v>
      </c>
      <c r="Z10" s="13">
        <v>4.76</v>
      </c>
      <c r="AA10" s="8">
        <v>4.17</v>
      </c>
      <c r="AB10" s="10">
        <v>3.78</v>
      </c>
      <c r="AC10" s="10">
        <v>3.9</v>
      </c>
      <c r="AD10" s="10">
        <v>5.08</v>
      </c>
      <c r="AE10" s="10">
        <v>5.04</v>
      </c>
      <c r="AF10" s="10">
        <v>4.96</v>
      </c>
      <c r="AG10" s="10">
        <v>3.83</v>
      </c>
      <c r="AH10" s="10">
        <v>3.72</v>
      </c>
      <c r="AI10" s="10">
        <v>3.6</v>
      </c>
      <c r="AJ10" s="10">
        <v>3.55</v>
      </c>
      <c r="AK10" s="10">
        <v>3.44</v>
      </c>
      <c r="AL10" s="13">
        <v>3.22</v>
      </c>
      <c r="AM10" s="8">
        <v>3.33</v>
      </c>
      <c r="AN10" s="10">
        <v>5.85</v>
      </c>
      <c r="AO10" s="10">
        <v>6.72</v>
      </c>
      <c r="AP10" s="10">
        <v>7.27</v>
      </c>
      <c r="AQ10" s="10">
        <v>7.16</v>
      </c>
      <c r="AR10" s="10">
        <v>7.02</v>
      </c>
      <c r="AS10" s="10">
        <v>6.45</v>
      </c>
      <c r="AT10" s="10">
        <v>5.78</v>
      </c>
      <c r="AU10" s="10">
        <v>3.6</v>
      </c>
      <c r="AV10" s="10">
        <v>4.74</v>
      </c>
      <c r="AW10" s="10">
        <v>4.25</v>
      </c>
      <c r="AX10" s="13">
        <v>3.72</v>
      </c>
      <c r="AY10" s="8">
        <v>3.16</v>
      </c>
      <c r="AZ10" s="10">
        <v>7.02</v>
      </c>
      <c r="BA10" s="10">
        <v>7.4</v>
      </c>
      <c r="BB10" s="10">
        <v>7.58</v>
      </c>
      <c r="BC10" s="10">
        <v>7.31</v>
      </c>
      <c r="BD10" s="10">
        <v>6.78</v>
      </c>
      <c r="BE10" s="10"/>
      <c r="BF10" s="10"/>
      <c r="BG10" s="10"/>
      <c r="BH10" s="10"/>
      <c r="BI10" s="10"/>
      <c r="BJ10" s="13"/>
    </row>
    <row r="11" spans="1:62" x14ac:dyDescent="0.25">
      <c r="A11" s="2" t="s">
        <v>22</v>
      </c>
      <c r="B11" s="17">
        <f>SUM(B5:B10)</f>
        <v>312.55</v>
      </c>
      <c r="C11" s="3">
        <f t="shared" ref="C11:N11" si="0">SUM(C5:C10)</f>
        <v>236.41</v>
      </c>
      <c r="D11" s="3">
        <f t="shared" si="0"/>
        <v>224.53</v>
      </c>
      <c r="E11" s="3">
        <f t="shared" si="0"/>
        <v>226.61</v>
      </c>
      <c r="F11" s="3">
        <f t="shared" si="0"/>
        <v>225.29999999999998</v>
      </c>
      <c r="G11" s="3">
        <f t="shared" si="0"/>
        <v>228.61999999999995</v>
      </c>
      <c r="H11" s="3">
        <f t="shared" si="0"/>
        <v>220.43</v>
      </c>
      <c r="I11" s="3">
        <f t="shared" si="0"/>
        <v>204.05999999999997</v>
      </c>
      <c r="J11" s="3">
        <f t="shared" si="0"/>
        <v>179.73999999999998</v>
      </c>
      <c r="K11" s="3">
        <f t="shared" si="0"/>
        <v>159</v>
      </c>
      <c r="L11" s="3">
        <f t="shared" si="0"/>
        <v>147.25</v>
      </c>
      <c r="M11" s="3">
        <f t="shared" si="0"/>
        <v>140.97000000000003</v>
      </c>
      <c r="N11" s="3">
        <f t="shared" si="0"/>
        <v>145.61000000000001</v>
      </c>
      <c r="O11" s="3">
        <f>SUM(O5:O10)</f>
        <v>146.41</v>
      </c>
      <c r="P11" s="3">
        <f t="shared" ref="P11:BD11" si="1">SUM(P5:P10)</f>
        <v>157.12</v>
      </c>
      <c r="Q11" s="3">
        <f t="shared" si="1"/>
        <v>170.06</v>
      </c>
      <c r="R11" s="3">
        <f t="shared" si="1"/>
        <v>201.15</v>
      </c>
      <c r="S11" s="3">
        <f t="shared" si="1"/>
        <v>195.04</v>
      </c>
      <c r="T11" s="3">
        <f t="shared" si="1"/>
        <v>196.72</v>
      </c>
      <c r="U11" s="3">
        <f t="shared" si="1"/>
        <v>194.33</v>
      </c>
      <c r="V11" s="3">
        <f t="shared" si="1"/>
        <v>171.55</v>
      </c>
      <c r="W11" s="3">
        <f t="shared" si="1"/>
        <v>149.73999999999998</v>
      </c>
      <c r="X11" s="3">
        <f t="shared" si="1"/>
        <v>129.31</v>
      </c>
      <c r="Y11" s="3">
        <f t="shared" si="1"/>
        <v>110.61</v>
      </c>
      <c r="Z11" s="3">
        <f t="shared" si="1"/>
        <v>102.75000000000001</v>
      </c>
      <c r="AA11" s="3">
        <f t="shared" si="1"/>
        <v>96.070000000000007</v>
      </c>
      <c r="AB11" s="3">
        <f t="shared" si="1"/>
        <v>96.93</v>
      </c>
      <c r="AC11" s="3">
        <f t="shared" si="1"/>
        <v>96.87</v>
      </c>
      <c r="AD11" s="3">
        <f t="shared" si="1"/>
        <v>107.82</v>
      </c>
      <c r="AE11" s="3">
        <f t="shared" si="1"/>
        <v>102.72000000000001</v>
      </c>
      <c r="AF11" s="3">
        <f t="shared" si="1"/>
        <v>97.38</v>
      </c>
      <c r="AG11" s="3">
        <f t="shared" si="1"/>
        <v>88.11</v>
      </c>
      <c r="AH11" s="3">
        <f t="shared" si="1"/>
        <v>74.81</v>
      </c>
      <c r="AI11" s="3">
        <f t="shared" si="1"/>
        <v>65.72</v>
      </c>
      <c r="AJ11" s="3">
        <f t="shared" si="1"/>
        <v>59.059999999999995</v>
      </c>
      <c r="AK11" s="3">
        <f t="shared" si="1"/>
        <v>53.559999999999995</v>
      </c>
      <c r="AL11" s="3">
        <f t="shared" si="1"/>
        <v>48.509999999999991</v>
      </c>
      <c r="AM11" s="3">
        <f t="shared" si="1"/>
        <v>48.49</v>
      </c>
      <c r="AN11" s="3">
        <f t="shared" si="1"/>
        <v>62.95000000000001</v>
      </c>
      <c r="AO11" s="3">
        <f t="shared" si="1"/>
        <v>81.84</v>
      </c>
      <c r="AP11" s="3">
        <f t="shared" si="1"/>
        <v>90.08</v>
      </c>
      <c r="AQ11" s="3">
        <f t="shared" si="1"/>
        <v>94.899999999999991</v>
      </c>
      <c r="AR11" s="3">
        <f t="shared" si="1"/>
        <v>97.13</v>
      </c>
      <c r="AS11" s="3">
        <f t="shared" si="1"/>
        <v>87.4</v>
      </c>
      <c r="AT11" s="3">
        <f t="shared" si="1"/>
        <v>77.72</v>
      </c>
      <c r="AU11" s="3">
        <f t="shared" si="1"/>
        <v>65.72</v>
      </c>
      <c r="AV11" s="3">
        <f t="shared" si="1"/>
        <v>57.419999999999995</v>
      </c>
      <c r="AW11" s="3">
        <f t="shared" si="1"/>
        <v>51.67</v>
      </c>
      <c r="AX11" s="3">
        <f t="shared" si="1"/>
        <v>47.669999999999995</v>
      </c>
      <c r="AY11" s="3">
        <f t="shared" si="1"/>
        <v>45.03</v>
      </c>
      <c r="AZ11" s="3">
        <f>SUM(AZ5:AZ10)</f>
        <v>85.009999999999991</v>
      </c>
      <c r="BA11" s="3">
        <f t="shared" si="1"/>
        <v>155.51000000000002</v>
      </c>
      <c r="BB11" s="3">
        <f t="shared" si="1"/>
        <v>176.56000000000003</v>
      </c>
      <c r="BC11" s="3">
        <f t="shared" si="1"/>
        <v>212.46999999999997</v>
      </c>
      <c r="BD11" s="3">
        <f t="shared" si="1"/>
        <v>208.89</v>
      </c>
    </row>
    <row r="12" spans="1:62" x14ac:dyDescent="0.25">
      <c r="P12" s="15"/>
    </row>
  </sheetData>
  <mergeCells count="9">
    <mergeCell ref="AM3:AX3"/>
    <mergeCell ref="AY3:BJ3"/>
    <mergeCell ref="B2:B4"/>
    <mergeCell ref="A1:BJ1"/>
    <mergeCell ref="C3:N3"/>
    <mergeCell ref="C2:AL2"/>
    <mergeCell ref="A2:A4"/>
    <mergeCell ref="O3:Z3"/>
    <mergeCell ref="AA3:AL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DB8B-8F84-4FDD-AF68-FFB86AE576F1}">
  <dimension ref="A1:I10"/>
  <sheetViews>
    <sheetView workbookViewId="0">
      <selection activeCell="O8" sqref="O8"/>
    </sheetView>
  </sheetViews>
  <sheetFormatPr defaultRowHeight="15" x14ac:dyDescent="0.25"/>
  <cols>
    <col min="1" max="1" width="20.85546875" bestFit="1" customWidth="1"/>
    <col min="8" max="8" width="13.42578125" customWidth="1"/>
    <col min="9" max="9" width="14" customWidth="1"/>
  </cols>
  <sheetData>
    <row r="1" spans="1:9" x14ac:dyDescent="0.25">
      <c r="A1" s="30" t="s">
        <v>7</v>
      </c>
      <c r="B1" s="27" t="s">
        <v>21</v>
      </c>
      <c r="C1" s="27" t="s">
        <v>24</v>
      </c>
      <c r="D1" s="30"/>
      <c r="E1" s="30"/>
      <c r="F1" s="30"/>
      <c r="G1" s="30"/>
    </row>
    <row r="2" spans="1:9" x14ac:dyDescent="0.25">
      <c r="A2" s="30"/>
      <c r="B2" s="27"/>
      <c r="C2" s="30"/>
      <c r="D2" s="30"/>
      <c r="E2" s="30"/>
      <c r="F2" s="30"/>
      <c r="G2" s="30"/>
    </row>
    <row r="3" spans="1:9" ht="71.25" customHeight="1" x14ac:dyDescent="0.25">
      <c r="A3" s="30"/>
      <c r="B3" s="27"/>
      <c r="C3" s="21" t="s">
        <v>25</v>
      </c>
      <c r="D3" s="21" t="s">
        <v>26</v>
      </c>
      <c r="E3" s="21" t="s">
        <v>27</v>
      </c>
      <c r="F3" s="21" t="s">
        <v>28</v>
      </c>
      <c r="G3" s="21" t="s">
        <v>29</v>
      </c>
      <c r="H3" s="22" t="s">
        <v>23</v>
      </c>
      <c r="I3" s="22" t="s">
        <v>30</v>
      </c>
    </row>
    <row r="4" spans="1:9" x14ac:dyDescent="0.25">
      <c r="A4" s="2" t="s">
        <v>0</v>
      </c>
      <c r="B4" s="3">
        <v>80</v>
      </c>
      <c r="C4" s="18">
        <f>AVERAGE('Volumi invasi 23-26'!C5:N5)/'Volumi invasi 23-26'!$B$5</f>
        <v>0.58125000000000004</v>
      </c>
      <c r="D4" s="18">
        <f>AVERAGE('Volumi invasi 23-26'!O5:Z5)/'Volumi invasi 23-26'!B5</f>
        <v>0.57038541666666664</v>
      </c>
      <c r="E4" s="18">
        <f>AVERAGE('Volumi invasi 23-26'!AA5:AL5)/'Volumi invasi 23-26'!B5</f>
        <v>0.24379166666666668</v>
      </c>
      <c r="F4" s="18">
        <f>AVERAGE('Volumi invasi 23-26'!AM5:AX5)/'Volumi invasi 23-26'!B5</f>
        <v>0.17727083333333338</v>
      </c>
      <c r="G4" s="18">
        <f>AVERAGE('Volumi invasi 23-26'!AY5:BJ5)/'Volumi invasi 23-26'!B5</f>
        <v>0.38354166666666667</v>
      </c>
      <c r="H4" s="20">
        <f>AVERAGE(C4:F4)</f>
        <v>0.3931744791666667</v>
      </c>
      <c r="I4" s="23">
        <f>COUNTIF('Volumi invasi 23-26'!C5:AX5, "&lt;" &amp; ('Volumi invasi 23-26'!B5*0.4))</f>
        <v>26</v>
      </c>
    </row>
    <row r="5" spans="1:9" x14ac:dyDescent="0.25">
      <c r="A5" s="2" t="s">
        <v>1</v>
      </c>
      <c r="B5" s="3">
        <v>32.799999999999997</v>
      </c>
      <c r="C5" s="18">
        <f>AVERAGE('Volumi invasi 23-26'!C6:N6)/'Volumi invasi 23-26'!$B$6</f>
        <v>0.59430894308943083</v>
      </c>
      <c r="D5" s="18">
        <f>AVERAGE('Volumi invasi 23-26'!O6:Z6)/'Volumi invasi 23-26'!B6</f>
        <v>0.46697154471544711</v>
      </c>
      <c r="E5" s="18">
        <f>AVERAGE('Volumi invasi 23-26'!AA6:AL6)/'Volumi invasi 23-26'!B6</f>
        <v>0.28010670731707321</v>
      </c>
      <c r="F5" s="18">
        <f>AVERAGE('Volumi invasi 23-26'!AM6:AX6)/'Volumi invasi 23-26'!B6</f>
        <v>0.25398882113821136</v>
      </c>
      <c r="G5" s="18">
        <f>AVERAGE('Volumi invasi 23-26'!AY6:BJ6)/'Volumi invasi 23-26'!B6</f>
        <v>0.45650406504065039</v>
      </c>
      <c r="H5" s="20">
        <f t="shared" ref="H5:H10" si="0">AVERAGE(C5:F5)</f>
        <v>0.39884400406504061</v>
      </c>
      <c r="I5" s="23">
        <f>COUNTIF('Volumi invasi 23-26'!C6:AX6, "&lt;" &amp; ('Volumi invasi 23-26'!B6*0.4))</f>
        <v>26</v>
      </c>
    </row>
    <row r="6" spans="1:9" x14ac:dyDescent="0.25">
      <c r="A6" s="2" t="s">
        <v>2</v>
      </c>
      <c r="B6" s="3">
        <v>72.5</v>
      </c>
      <c r="C6" s="18">
        <f>AVERAGE('Volumi invasi 23-26'!C7:N7)/'Volumi invasi 23-26'!$B$7</f>
        <v>0.8387011494252874</v>
      </c>
      <c r="D6" s="18">
        <f>AVERAGE('Volumi invasi 23-26'!O7:Z7)/'Volumi invasi 23-26'!B7</f>
        <v>0.66039080459770105</v>
      </c>
      <c r="E6" s="18">
        <f>AVERAGE('Volumi invasi 23-26'!AA7:AL7)/'Volumi invasi 23-26'!B7</f>
        <v>0.40963218390804601</v>
      </c>
      <c r="F6" s="18">
        <f>AVERAGE('Volumi invasi 23-26'!AM7:AX7)/'Volumi invasi 23-26'!B7</f>
        <v>0.31175862068965521</v>
      </c>
      <c r="G6" s="18">
        <f>AVERAGE('Volumi invasi 23-26'!AY7:BJ7)/'Volumi invasi 23-26'!B7</f>
        <v>0.59016091954022987</v>
      </c>
      <c r="H6" s="20">
        <f t="shared" si="0"/>
        <v>0.55512068965517236</v>
      </c>
      <c r="I6" s="23">
        <f>COUNTIF('Volumi invasi 23-26'!C7:AX7, "&lt;" &amp; ('Volumi invasi 23-26'!B7*0.4))</f>
        <v>16</v>
      </c>
    </row>
    <row r="7" spans="1:9" x14ac:dyDescent="0.25">
      <c r="A7" s="2" t="s">
        <v>3</v>
      </c>
      <c r="B7" s="14">
        <v>9.25</v>
      </c>
      <c r="C7" s="18">
        <f>AVERAGE('Volumi invasi 23-26'!C8:N8)/'Volumi invasi 23-26'!$B$8</f>
        <v>0.58882882882882903</v>
      </c>
      <c r="D7" s="18">
        <f>AVERAGE('Volumi invasi 23-26'!O8:Z8)/'Volumi invasi 23-26'!B8</f>
        <v>0.5335135135135135</v>
      </c>
      <c r="E7" s="18">
        <f>AVERAGE('Volumi invasi 23-26'!AA8:AL8)/'Volumi invasi 23-26'!B8</f>
        <v>0.24495495495495498</v>
      </c>
      <c r="F7" s="18">
        <f>AVERAGE('Volumi invasi 23-26'!AM8:AX8)/'Volumi invasi 23-26'!B8</f>
        <v>0.30108108108108111</v>
      </c>
      <c r="G7" s="18">
        <f>AVERAGE('Volumi invasi 23-26'!AY8:BJ8)/'Volumi invasi 23-26'!B8</f>
        <v>0.65711711711711707</v>
      </c>
      <c r="H7" s="20">
        <f t="shared" si="0"/>
        <v>0.41709459459459469</v>
      </c>
      <c r="I7" s="23">
        <f>COUNTIF('Volumi invasi 23-26'!C8:AX8, "&lt;" &amp; ('Volumi invasi 23-26'!B8*0.4))</f>
        <v>28</v>
      </c>
    </row>
    <row r="8" spans="1:9" x14ac:dyDescent="0.25">
      <c r="A8" s="2" t="s">
        <v>4</v>
      </c>
      <c r="B8" s="3">
        <v>100</v>
      </c>
      <c r="C8" s="18">
        <f>AVERAGE('Volumi invasi 23-26'!C9:N9)/'Volumi invasi 23-26'!$B$9</f>
        <v>0.5638749999999999</v>
      </c>
      <c r="D8" s="18">
        <f>AVERAGE('Volumi invasi 23-26'!O9:Z9)/'Volumi invasi 23-26'!B9</f>
        <v>0.40252500000000002</v>
      </c>
      <c r="E8" s="18">
        <f>AVERAGE('Volumi invasi 23-26'!AA9:AL9)/'Volumi invasi 23-26'!B9</f>
        <v>0.17617500000000003</v>
      </c>
      <c r="F8" s="18">
        <f>AVERAGE('Volumi invasi 23-26'!AM9:AX9)/'Volumi invasi 23-26'!B9</f>
        <v>0.18525000000000003</v>
      </c>
      <c r="G8" s="18">
        <f>AVERAGE('Volumi invasi 23-26'!AY9:BJ9)/'Volumi invasi 23-26'!B9</f>
        <v>0.46181666666666665</v>
      </c>
      <c r="H8" s="20">
        <f t="shared" si="0"/>
        <v>0.33195624999999995</v>
      </c>
      <c r="I8" s="23">
        <f>COUNTIF('Volumi invasi 23-26'!C9:AX9, "&lt;" &amp; ('Volumi invasi 23-26'!B9*0.4))</f>
        <v>29</v>
      </c>
    </row>
    <row r="9" spans="1:9" x14ac:dyDescent="0.25">
      <c r="A9" s="2" t="s">
        <v>5</v>
      </c>
      <c r="B9" s="3">
        <v>18</v>
      </c>
      <c r="C9" s="18">
        <f>AVERAGE('Volumi invasi 23-26'!C10:N10)/'Volumi invasi 23-26'!$B$10</f>
        <v>0.34689814814814818</v>
      </c>
      <c r="D9" s="18">
        <f>AVERAGE('Volumi invasi 23-26'!O10:Z10)/'Volumi invasi 23-26'!B10</f>
        <v>0.35476851851851854</v>
      </c>
      <c r="E9" s="18">
        <f>AVERAGE('Volumi invasi 23-26'!AA10:AL10)/'Volumi invasi 23-26'!B10</f>
        <v>0.22356481481481477</v>
      </c>
      <c r="F9" s="18">
        <f>AVERAGE('Volumi invasi 23-26'!AM10:AX10)/'Volumi invasi 23-26'!B10</f>
        <v>0.30504629629629632</v>
      </c>
      <c r="G9" s="18">
        <f>AVERAGE('Volumi invasi 23-26'!AY10:BJ10)/'Volumi invasi 23-26'!B10</f>
        <v>0.36342592592592593</v>
      </c>
      <c r="H9" s="20">
        <f t="shared" si="0"/>
        <v>0.30756944444444445</v>
      </c>
      <c r="I9" s="23">
        <f>COUNTIF('Volumi invasi 23-26'!C10:AX10, "&lt;" &amp; ('Volumi invasi 23-26'!B10*0.4))</f>
        <v>38</v>
      </c>
    </row>
    <row r="10" spans="1:9" x14ac:dyDescent="0.25">
      <c r="A10" s="2" t="s">
        <v>22</v>
      </c>
      <c r="B10" s="17">
        <f>SUM(B4:B9)</f>
        <v>312.55</v>
      </c>
      <c r="C10" s="19">
        <f>AVERAGE(C4:C9)</f>
        <v>0.58564367824861596</v>
      </c>
      <c r="D10" s="19">
        <f t="shared" ref="D10:G10" si="1">AVERAGE(D4:D9)</f>
        <v>0.4980924663353079</v>
      </c>
      <c r="E10" s="19">
        <f t="shared" si="1"/>
        <v>0.26303755461025929</v>
      </c>
      <c r="F10" s="19">
        <f t="shared" si="1"/>
        <v>0.25573260875642956</v>
      </c>
      <c r="G10" s="19">
        <f t="shared" si="1"/>
        <v>0.48542772682620944</v>
      </c>
      <c r="H10" s="20">
        <f t="shared" si="0"/>
        <v>0.40062657698765319</v>
      </c>
      <c r="I10" s="1">
        <f>COUNTIF('Volumi invasi 23-26'!C11:AX11, "&lt;" &amp; ('Volumi invasi 23-26'!B11*0.4))</f>
        <v>26</v>
      </c>
    </row>
  </sheetData>
  <mergeCells count="3">
    <mergeCell ref="C1:G2"/>
    <mergeCell ref="A1:A3"/>
    <mergeCell ref="B1:B3"/>
  </mergeCells>
  <conditionalFormatting sqref="C4:H10">
    <cfRule type="cellIs" dxfId="2" priority="1" operator="between">
      <formula>0.4</formula>
      <formula>0.6</formula>
    </cfRule>
    <cfRule type="cellIs" dxfId="1" priority="2" operator="greaterThan">
      <formula>0.6</formula>
    </cfRule>
    <cfRule type="cellIs" dxfId="0" priority="3" operator="lessThan">
      <formula>0.4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Volumi invasi 23-26</vt:lpstr>
      <vt:lpstr>% annua di riempimento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Mariniello Giuseppe - MAR</dc:creator>
  <cp:lastModifiedBy>Mariniello Giuseppe - MAR</cp:lastModifiedBy>
  <dcterms:created xsi:type="dcterms:W3CDTF">2026-04-01T11:34:23Z</dcterms:created>
  <dcterms:modified xsi:type="dcterms:W3CDTF">2026-07-08T11:07:37Z</dcterms:modified>
</cp:coreProperties>
</file>